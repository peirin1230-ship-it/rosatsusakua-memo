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管理台帳" sheetId="1" state="visible" r:id="rId1"/>
    <sheet xmlns:r="http://schemas.openxmlformats.org/officeDocument/2006/relationships" name="記入ガイド" sheetId="2" state="visible" r:id="rId2"/>
  </sheets>
  <definedNames>
    <definedName name="_xlnm._FilterDatabase" localSheetId="0" hidden="1">'統合管理台帳'!$A$5:$N$55</definedName>
    <definedName name="_xlnm.Print_Titles" localSheetId="0">'統合管理台帳'!$5:$5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1F3864"/>
      <sz val="16"/>
    </font>
    <font>
      <name val="Meiryo UI"/>
      <color rgb="00666666"/>
      <sz val="9"/>
    </font>
    <font>
      <name val="Meiryo UI"/>
      <b val="1"/>
      <sz val="10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color rgb="001F3864"/>
      <sz val="12"/>
    </font>
    <font>
      <name val="Meiryo UI"/>
      <b val="1"/>
      <color rgb="00C00000"/>
      <sz val="11"/>
    </font>
    <font>
      <name val="Meiryo UI"/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7" fillId="7" borderId="0" pivotButton="0" quotePrefix="0" xfId="0"/>
    <xf numFmtId="0" fontId="8" fillId="0" borderId="0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D6E4F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  <dxf>
      <font>
        <name val="Meiryo UI"/>
        <b val="1"/>
        <color rgb="00C00000"/>
        <sz val="10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4" customWidth="1" min="4" max="4"/>
    <col width="22" customWidth="1" min="5" max="5"/>
    <col width="42" customWidth="1" min="6" max="6"/>
    <col width="28" customWidth="1" min="7" max="7"/>
    <col width="18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22" customWidth="1" min="14" max="14"/>
  </cols>
  <sheetData>
    <row r="1" ht="40" customHeight="1">
      <c r="A1" s="1" t="inlineStr">
        <is>
          <t>診療報酬改定対応  統合管理台帳</t>
        </is>
      </c>
    </row>
    <row r="2" ht="20" customHeight="1">
      <c r="A2" s="2" t="inlineStr">
        <is>
          <t>不明点 ／ システム改修 ／ 他部署協議  を一元管理　　｜　提出期限: 2026-04-10</t>
        </is>
      </c>
    </row>
    <row r="3" ht="22" customHeight="1">
      <c r="A3" s="3" t="inlineStr">
        <is>
          <t>凡例:</t>
        </is>
      </c>
      <c r="B3" s="4" t="inlineStr">
        <is>
          <t xml:space="preserve"> 不明点 </t>
        </is>
      </c>
      <c r="C3" s="5" t="inlineStr">
        <is>
          <t xml:space="preserve"> システム改修 </t>
        </is>
      </c>
      <c r="D3" s="6" t="inlineStr">
        <is>
          <t xml:space="preserve"> 他部署協議 </t>
        </is>
      </c>
    </row>
    <row r="5" ht="38" customHeight="1">
      <c r="A5" s="7" t="inlineStr">
        <is>
          <t>No.</t>
        </is>
      </c>
      <c r="B5" s="7" t="inlineStr">
        <is>
          <t>カテゴリ</t>
        </is>
      </c>
      <c r="C5" s="7" t="inlineStr">
        <is>
          <t>担当者</t>
        </is>
      </c>
      <c r="D5" s="7" t="inlineStr">
        <is>
          <t>区分
（診療区分等）</t>
        </is>
      </c>
      <c r="E5" s="7" t="inlineStr">
        <is>
          <t>該当項目</t>
        </is>
      </c>
      <c r="F5" s="7" t="inlineStr">
        <is>
          <t>内容
（何が問題か・何をすべきか）</t>
        </is>
      </c>
      <c r="G5" s="7" t="inlineStr">
        <is>
          <t>現状の対応案</t>
        </is>
      </c>
      <c r="H5" s="7" t="inlineStr">
        <is>
          <t>根拠・参照先</t>
        </is>
      </c>
      <c r="I5" s="7" t="inlineStr">
        <is>
          <t>影響度</t>
        </is>
      </c>
      <c r="J5" s="7" t="inlineStr">
        <is>
          <t>優先度</t>
        </is>
      </c>
      <c r="K5" s="7" t="inlineStr">
        <is>
          <t>期限</t>
        </is>
      </c>
      <c r="L5" s="7" t="inlineStr">
        <is>
          <t>ステータス</t>
        </is>
      </c>
      <c r="M5" s="7" t="inlineStr">
        <is>
          <t>対応担当
（協議先）</t>
        </is>
      </c>
      <c r="N5" s="7" t="inlineStr">
        <is>
          <t>備考</t>
        </is>
      </c>
    </row>
    <row r="6" ht="48" customHeight="1">
      <c r="A6" s="8" t="n">
        <v>1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48" customHeight="1">
      <c r="A7" s="10" t="n">
        <v>2</v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</row>
    <row r="8" ht="48" customHeight="1">
      <c r="A8" s="8" t="n">
        <v>3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48" customHeight="1">
      <c r="A9" s="10" t="n">
        <v>4</v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</row>
    <row r="10" ht="48" customHeight="1">
      <c r="A10" s="8" t="n">
        <v>5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48" customHeight="1">
      <c r="A11" s="10" t="n">
        <v>6</v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 ht="48" customHeight="1">
      <c r="A12" s="8" t="n">
        <v>7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48" customHeight="1">
      <c r="A13" s="10" t="n">
        <v>8</v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48" customHeight="1">
      <c r="A14" s="8" t="n">
        <v>9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48" customHeight="1">
      <c r="A15" s="10" t="n">
        <v>10</v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48" customHeight="1">
      <c r="A16" s="8" t="n">
        <v>11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48" customHeight="1">
      <c r="A17" s="10" t="n">
        <v>12</v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48" customHeight="1">
      <c r="A18" s="8" t="n">
        <v>13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48" customHeight="1">
      <c r="A19" s="10" t="n">
        <v>14</v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48" customHeight="1">
      <c r="A20" s="8" t="n">
        <v>15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48" customHeight="1">
      <c r="A21" s="10" t="n">
        <v>16</v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48" customHeight="1">
      <c r="A22" s="8" t="n">
        <v>17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48" customHeight="1">
      <c r="A23" s="10" t="n">
        <v>18</v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48" customHeight="1">
      <c r="A24" s="8" t="n">
        <v>19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48" customHeight="1">
      <c r="A25" s="10" t="n">
        <v>20</v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48" customHeight="1">
      <c r="A26" s="8" t="n">
        <v>21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48" customHeight="1">
      <c r="A27" s="10" t="n">
        <v>22</v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48" customHeight="1">
      <c r="A28" s="8" t="n">
        <v>23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48" customHeight="1">
      <c r="A29" s="10" t="n">
        <v>24</v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48" customHeight="1">
      <c r="A30" s="8" t="n">
        <v>25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48" customHeight="1">
      <c r="A31" s="10" t="n">
        <v>26</v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48" customHeight="1">
      <c r="A32" s="8" t="n">
        <v>27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48" customHeight="1">
      <c r="A33" s="10" t="n">
        <v>28</v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</row>
    <row r="34" ht="48" customHeight="1">
      <c r="A34" s="8" t="n">
        <v>29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48" customHeight="1">
      <c r="A35" s="10" t="n">
        <v>30</v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48" customHeight="1">
      <c r="A36" s="8" t="n">
        <v>31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48" customHeight="1">
      <c r="A37" s="10" t="n">
        <v>32</v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  <row r="38" ht="48" customHeight="1">
      <c r="A38" s="8" t="n">
        <v>33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48" customHeight="1">
      <c r="A39" s="10" t="n">
        <v>34</v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</row>
    <row r="40" ht="48" customHeight="1">
      <c r="A40" s="8" t="n">
        <v>35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48" customHeight="1">
      <c r="A41" s="10" t="n">
        <v>36</v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 ht="48" customHeight="1">
      <c r="A42" s="8" t="n">
        <v>37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48" customHeight="1">
      <c r="A43" s="10" t="n">
        <v>38</v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</row>
    <row r="44" ht="48" customHeight="1">
      <c r="A44" s="8" t="n">
        <v>39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48" customHeight="1">
      <c r="A45" s="10" t="n">
        <v>40</v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</row>
    <row r="46" ht="48" customHeight="1">
      <c r="A46" s="8" t="n">
        <v>41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48" customHeight="1">
      <c r="A47" s="10" t="n">
        <v>42</v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48" customHeight="1">
      <c r="A48" s="8" t="n">
        <v>43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48" customHeight="1">
      <c r="A49" s="10" t="n">
        <v>44</v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48" customHeight="1">
      <c r="A50" s="8" t="n">
        <v>45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48" customHeight="1">
      <c r="A51" s="10" t="n">
        <v>46</v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48" customHeight="1">
      <c r="A52" s="8" t="n">
        <v>47</v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48" customHeight="1">
      <c r="A53" s="10" t="n">
        <v>48</v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48" customHeight="1">
      <c r="A54" s="8" t="n">
        <v>49</v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48" customHeight="1">
      <c r="A55" s="10" t="n">
        <v>50</v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</row>
    <row r="57" ht="28" customHeight="1">
      <c r="A57" s="12" t="inlineStr">
        <is>
          <t>集計</t>
        </is>
      </c>
    </row>
    <row r="58" ht="25" customHeight="1">
      <c r="A58" s="13" t="inlineStr"/>
      <c r="B58" s="14" t="inlineStr">
        <is>
          <t>不明点</t>
        </is>
      </c>
      <c r="C58" s="15" t="inlineStr">
        <is>
          <t>システム改修</t>
        </is>
      </c>
      <c r="D58" s="16" t="inlineStr">
        <is>
          <t>他部署協議</t>
        </is>
      </c>
      <c r="E58" s="7" t="inlineStr">
        <is>
          <t>合計</t>
        </is>
      </c>
    </row>
    <row r="59" ht="22" customHeight="1">
      <c r="A59" s="17" t="inlineStr">
        <is>
          <t>件数（全体）</t>
        </is>
      </c>
      <c r="B59" s="8">
        <f>COUNTIF($B$6:$B$55,"不明点")</f>
        <v/>
      </c>
      <c r="C59" s="8">
        <f>COUNTIF($B$6:$B$55,"システム改修")</f>
        <v/>
      </c>
      <c r="D59" s="8">
        <f>COUNTIF($B$6:$B$55,"他部署協議")</f>
        <v/>
      </c>
      <c r="E59" s="13">
        <f>SUM(B59:D59)</f>
        <v/>
      </c>
    </row>
    <row r="60" ht="22" customHeight="1">
      <c r="A60" s="17" t="inlineStr">
        <is>
          <t>未着手</t>
        </is>
      </c>
      <c r="B60" s="8">
        <f>COUNTIFS($B$6:$B$55,"不明点",$L$6:$L$55,"未着手")</f>
        <v/>
      </c>
      <c r="C60" s="8">
        <f>COUNTIFS($B$6:$B$55,"システム改修",$L$6:$L$55,"未着手")</f>
        <v/>
      </c>
      <c r="D60" s="8">
        <f>COUNTIFS($B$6:$B$55,"他部署協議",$L$6:$L$55,"未着手")</f>
        <v/>
      </c>
      <c r="E60" s="13">
        <f>SUM(B60:D60)</f>
        <v/>
      </c>
    </row>
    <row r="61" ht="22" customHeight="1">
      <c r="A61" s="17" t="inlineStr">
        <is>
          <t>対応中・確認中</t>
        </is>
      </c>
      <c r="B61" s="8">
        <f>COUNTIFS($B$6:$B$55,"不明点",$L$6:$L$55,"対応中")+COUNTIFS($B$6:$B$55,"不明点",$L$6:$L$55,"確認中")+COUNTIFS($B$6:$B$55,"不明点",$L$6:$L$55,"照会中")+COUNTIFS($B$6:$B$55,"不明点",$L$6:$L$55,"協議中")</f>
        <v/>
      </c>
      <c r="C61" s="8">
        <f>COUNTIFS($B$6:$B$55,"システム改修",$L$6:$L$55,"対応中")+COUNTIFS($B$6:$B$55,"システム改修",$L$6:$L$55,"確認中")+COUNTIFS($B$6:$B$55,"システム改修",$L$6:$L$55,"照会中")+COUNTIFS($B$6:$B$55,"システム改修",$L$6:$L$55,"協議中")</f>
        <v/>
      </c>
      <c r="D61" s="8">
        <f>COUNTIFS($B$6:$B$55,"他部署協議",$L$6:$L$55,"対応中")+COUNTIFS($B$6:$B$55,"他部署協議",$L$6:$L$55,"確認中")+COUNTIFS($B$6:$B$55,"他部署協議",$L$6:$L$55,"照会中")+COUNTIFS($B$6:$B$55,"他部署協議",$L$6:$L$55,"協議中")</f>
        <v/>
      </c>
      <c r="E61" s="13">
        <f>SUM(B61:D61)</f>
        <v/>
      </c>
    </row>
    <row r="62" ht="22" customHeight="1">
      <c r="A62" s="17" t="inlineStr">
        <is>
          <t>完了</t>
        </is>
      </c>
      <c r="B62" s="8">
        <f>COUNTIFS($B$6:$B$55,"不明点",$L$6:$L$55,"完了")</f>
        <v/>
      </c>
      <c r="C62" s="8">
        <f>COUNTIFS($B$6:$B$55,"システム改修",$L$6:$L$55,"完了")</f>
        <v/>
      </c>
      <c r="D62" s="8">
        <f>COUNTIFS($B$6:$B$55,"他部署協議",$L$6:$L$55,"完了")</f>
        <v/>
      </c>
      <c r="E62" s="13">
        <f>SUM(B62:D62)</f>
        <v/>
      </c>
    </row>
    <row r="64" ht="28" customHeight="1">
      <c r="A64" s="18" t="inlineStr">
        <is>
          <t>提出期限: 2026年4月10日（金）　※ 該当なしの場合も「該当なし」と記入の上、提出してください</t>
        </is>
      </c>
    </row>
  </sheetData>
  <autoFilter ref="A5:N55"/>
  <mergeCells count="4">
    <mergeCell ref="A64:N64"/>
    <mergeCell ref="A57:N57"/>
    <mergeCell ref="A2:N2"/>
    <mergeCell ref="A1:N1"/>
  </mergeCells>
  <conditionalFormatting sqref="B6:B55">
    <cfRule type="cellIs" priority="1" operator="equal" dxfId="0">
      <formula>"不明点"</formula>
    </cfRule>
    <cfRule type="cellIs" priority="2" operator="equal" dxfId="1">
      <formula>"システム改修"</formula>
    </cfRule>
    <cfRule type="cellIs" priority="3" operator="equal" dxfId="2">
      <formula>"他部署協議"</formula>
    </cfRule>
  </conditionalFormatting>
  <conditionalFormatting sqref="J6:J55">
    <cfRule type="cellIs" priority="4" operator="equal" dxfId="3">
      <formula>"A"</formula>
    </cfRule>
  </conditionalFormatting>
  <conditionalFormatting sqref="L6:L55">
    <cfRule type="cellIs" priority="5" operator="equal" dxfId="4">
      <formula>"完了"</formula>
    </cfRule>
  </conditionalFormatting>
  <dataValidations count="5">
    <dataValidation sqref="B6:B55" showDropDown="0" showInputMessage="0" showErrorMessage="0" allowBlank="1" prompt="カテゴリを選択" type="list">
      <formula1>"不明点,システム改修,他部署協議"</formula1>
    </dataValidation>
    <dataValidation sqref="D6:D55" showDropDown="0" showInputMessage="0" showErrorMessage="0" allowBlank="1" type="list">
      <formula1>"初・再診,医学管理,在宅,検査,画像診断,投薬,注射,リハビリ,精神科専門療法,処置,手術,麻酔,放射線治療,病理診断,入院基本料,特定入院料,食事療養,DPC,施設基準,届出,マスタ,レセプト,その他"</formula1>
    </dataValidation>
    <dataValidation sqref="I6:I55" showDropDown="0" showInputMessage="0" showErrorMessage="0" allowBlank="1" type="list">
      <formula1>"大,中,小"</formula1>
    </dataValidation>
    <dataValidation sqref="J6:J55" showDropDown="0" showInputMessage="0" showErrorMessage="0" allowBlank="1" type="list">
      <formula1>"A,B,C"</formula1>
    </dataValidation>
    <dataValidation sqref="L6:L55" showDropDown="0" showInputMessage="0" showErrorMessage="0" allowBlank="1" type="list">
      <formula1>"未着手,対応中,確認中,照会中,協議中,方針決定,完了"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 ht="35" customHeight="1">
      <c r="A1" s="19" t="inlineStr">
        <is>
          <t>記入ガイド</t>
        </is>
      </c>
    </row>
    <row r="3">
      <c r="A3" s="12" t="inlineStr">
        <is>
          <t>カテゴリの使い分け</t>
        </is>
      </c>
    </row>
    <row r="4" ht="50" customHeight="1">
      <c r="A4" s="20" t="inlineStr">
        <is>
          <t>不明点</t>
        </is>
      </c>
      <c r="B4" s="9" t="inlineStr">
        <is>
          <t>改定内容の解釈がわからない、判断がつかない項目。
例: 「〜の場合、算定可能か？」「届出要件の○○の解釈は？」</t>
        </is>
      </c>
    </row>
    <row r="5" ht="50" customHeight="1">
      <c r="A5" s="21" t="inlineStr">
        <is>
          <t>システム改修</t>
        </is>
      </c>
      <c r="B5" s="9" t="inlineStr">
        <is>
          <t>電子カルテ・レセコン・オーダリング等のマスタ変更・ロジック修正が必要な項目。
例: 「新設加算のマスタ登録」「算定ロジックの変更」「帳票の修正」</t>
        </is>
      </c>
    </row>
    <row r="6" ht="50" customHeight="1">
      <c r="A6" s="22" t="inlineStr">
        <is>
          <t>他部署協議</t>
        </is>
      </c>
      <c r="B6" s="9" t="inlineStr">
        <is>
          <t>医事課だけでは判断できず、他部署（医局・看護部・薬剤部・経営企画等）との調整が必要な項目。
例: 「施設基準の人員配置確認」「新設加算の算定方針の合意」</t>
        </is>
      </c>
    </row>
    <row r="8">
      <c r="A8" s="12" t="inlineStr">
        <is>
          <t>各列の記入方法</t>
        </is>
      </c>
    </row>
    <row r="9" ht="42" customHeight="1">
      <c r="A9" s="17" t="inlineStr">
        <is>
          <t>カテゴリ</t>
        </is>
      </c>
      <c r="B9" s="9" t="inlineStr">
        <is>
          <t>ドロップダウンから選択。1つの項目が複数カテゴリに該当する場合は主たるものを選び、備考に補足。</t>
        </is>
      </c>
    </row>
    <row r="10" ht="42" customHeight="1">
      <c r="A10" s="17" t="inlineStr">
        <is>
          <t>担当者</t>
        </is>
      </c>
      <c r="B10" s="9" t="inlineStr">
        <is>
          <t>記入者の氏名。</t>
        </is>
      </c>
    </row>
    <row r="11" ht="42" customHeight="1">
      <c r="A11" s="17" t="inlineStr">
        <is>
          <t>区分</t>
        </is>
      </c>
      <c r="B11" s="9" t="inlineStr">
        <is>
          <t>ドロップダウンから該当する診療区分・業務区分を選択。</t>
        </is>
      </c>
    </row>
    <row r="12" ht="42" customHeight="1">
      <c r="A12" s="17" t="inlineStr">
        <is>
          <t>該当項目</t>
        </is>
      </c>
      <c r="B12" s="9" t="inlineStr">
        <is>
          <t>点数表の項目名、告示・通知番号、施設基準名、システム画面名など具体的に。</t>
        </is>
      </c>
    </row>
    <row r="13" ht="42" customHeight="1">
      <c r="A13" s="17" t="inlineStr">
        <is>
          <t>内容</t>
        </is>
      </c>
      <c r="B13" s="9" t="inlineStr">
        <is>
          <t>【不明点】何がわからないか疑問形で。
【システム改修】何をどう変える必要があるか。
【他部署協議】何を誰と決める必要があるか。</t>
        </is>
      </c>
    </row>
    <row r="14" ht="42" customHeight="1">
      <c r="A14" s="17" t="inlineStr">
        <is>
          <t>現状の対応案</t>
        </is>
      </c>
      <c r="B14" s="9" t="inlineStr">
        <is>
          <t>暫定的な解釈・仮運用・改修方針案など、現時点の考えを記載。</t>
        </is>
      </c>
    </row>
    <row r="15" ht="42" customHeight="1">
      <c r="A15" s="17" t="inlineStr">
        <is>
          <t>根拠・参照先</t>
        </is>
      </c>
      <c r="B15" s="9" t="inlineStr">
        <is>
          <t>告示・通知・Q&amp;A・事務連絡・ベンダー資料などの出典。</t>
        </is>
      </c>
    </row>
    <row r="16" ht="42" customHeight="1">
      <c r="A16" s="17" t="inlineStr">
        <is>
          <t>影響度</t>
        </is>
      </c>
      <c r="B16" s="9" t="inlineStr">
        <is>
          <t>大＝算定不可/重大な誤り　中＝減算/返戻リスク　小＝運用上の疑問</t>
        </is>
      </c>
    </row>
    <row r="17" ht="42" customHeight="1">
      <c r="A17" s="17" t="inlineStr">
        <is>
          <t>優先度</t>
        </is>
      </c>
      <c r="B17" s="9" t="inlineStr">
        <is>
          <t>A＝4/10前に方針決定必要　B＝改定日までに対応　C＝改定後でも可</t>
        </is>
      </c>
    </row>
    <row r="18" ht="42" customHeight="1">
      <c r="A18" s="17" t="inlineStr">
        <is>
          <t>期限</t>
        </is>
      </c>
      <c r="B18" s="9" t="inlineStr">
        <is>
          <t>この項目の対応完了目標日。</t>
        </is>
      </c>
    </row>
    <row r="19" ht="42" customHeight="1">
      <c r="A19" s="17" t="inlineStr">
        <is>
          <t>ステータス</t>
        </is>
      </c>
      <c r="B19" s="9" t="inlineStr">
        <is>
          <t>ドロップダウンから選択。進捗に合わせて随時更新。</t>
        </is>
      </c>
    </row>
    <row r="20" ht="42" customHeight="1">
      <c r="A20" s="17" t="inlineStr">
        <is>
          <t>対応担当（協議先）</t>
        </is>
      </c>
      <c r="B20" s="9" t="inlineStr">
        <is>
          <t>実際に対応する人、または協議先の部署名・担当者名。</t>
        </is>
      </c>
    </row>
    <row r="21" ht="42" customHeight="1">
      <c r="A21" s="17" t="inlineStr">
        <is>
          <t>備考</t>
        </is>
      </c>
      <c r="B21" s="9" t="inlineStr">
        <is>
          <t>関連項目、過去の疑義解釈との関連、補足情報など。</t>
        </is>
      </c>
    </row>
    <row r="24">
      <c r="A24" s="12" t="inlineStr">
        <is>
          <t>推奨スケジュール</t>
        </is>
      </c>
    </row>
    <row r="25" ht="25" customHeight="1">
      <c r="A25" s="17" t="inlineStr">
        <is>
          <t>〜4/3（金）</t>
        </is>
      </c>
      <c r="B25" s="23" t="inlineStr">
        <is>
          <t>各自で改定資料を精読し、不明点・改修項目・協議事項を洗い出す</t>
        </is>
      </c>
    </row>
    <row r="26" ht="25" customHeight="1">
      <c r="A26" s="17" t="inlineStr">
        <is>
          <t>4/6（月）〜4/8（水）</t>
        </is>
      </c>
      <c r="B26" s="23" t="inlineStr">
        <is>
          <t>統合管理台帳に記入</t>
        </is>
      </c>
    </row>
    <row r="27" ht="25" customHeight="1">
      <c r="A27" s="17" t="inlineStr">
        <is>
          <t>4/9（木）</t>
        </is>
      </c>
      <c r="B27" s="23" t="inlineStr">
        <is>
          <t>チーム内で内容を相互確認・補足</t>
        </is>
      </c>
    </row>
    <row r="28" ht="25" customHeight="1">
      <c r="A28" s="17" t="inlineStr">
        <is>
          <t>4/10（金）</t>
        </is>
      </c>
      <c r="B28" s="23" t="inlineStr">
        <is>
          <t>【提出期限】取りまとめ担当へ提出</t>
        </is>
      </c>
    </row>
    <row r="29" ht="25" customHeight="1">
      <c r="A29" s="17" t="inlineStr">
        <is>
          <t>4/13（月）〜</t>
        </is>
      </c>
      <c r="B29" s="23" t="inlineStr">
        <is>
          <t>集約リストをもとに優先度別に対応方針を決定</t>
        </is>
      </c>
    </row>
  </sheetData>
  <mergeCells count="4">
    <mergeCell ref="A8:B8"/>
    <mergeCell ref="A3:B3"/>
    <mergeCell ref="A24:B2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2026-03-27T16:00:12Z</dcterms:created>
  <dcterms:modified xmlns:dcterms="http://purl.org/dc/terms/" xmlns:xsi="http://www.w3.org/2001/XMLSchema-instance" xsi:type="dcterms:W3CDTF">2026-03-27T16:00:12Z</dcterms:modified>
</cp:coreProperties>
</file>